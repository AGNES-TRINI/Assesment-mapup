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apUp-Data-Assessment-F\"/>
    </mc:Choice>
  </mc:AlternateContent>
  <xr:revisionPtr revIDLastSave="0" documentId="13_ncr:1_{593644A9-FFB7-485F-8F07-DEEAD66059A8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F30" i="18"/>
  <c r="F29" i="18"/>
  <c r="F28" i="18"/>
  <c r="E30" i="18"/>
  <c r="E29" i="18"/>
  <c r="E28" i="18"/>
  <c r="D30" i="18"/>
  <c r="D29" i="18"/>
  <c r="D28" i="18"/>
  <c r="C30" i="18"/>
  <c r="C29" i="18"/>
  <c r="C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B30" i="18"/>
  <c r="B29" i="18"/>
  <c r="B28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D5" i="15"/>
</calcChain>
</file>

<file path=xl/sharedStrings.xml><?xml version="1.0" encoding="utf-8"?>
<sst xmlns="http://schemas.openxmlformats.org/spreadsheetml/2006/main" count="412" uniqueCount="186">
  <si>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</si>
  <si>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</si>
  <si>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</si>
  <si>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</si>
  <si>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</si>
  <si>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</si>
  <si>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</si>
  <si>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</si>
  <si>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</si>
  <si>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</si>
  <si>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</si>
  <si>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</si>
  <si>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</si>
  <si>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</si>
  <si>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</si>
  <si>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</si>
  <si>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</si>
  <si>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</si>
  <si>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</si>
  <si>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</si>
  <si>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</si>
  <si>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</si>
  <si>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</si>
  <si>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</si>
  <si>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</si>
  <si>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</si>
  <si>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</si>
  <si>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</si>
  <si>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</si>
  <si>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</si>
  <si>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</si>
  <si>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</si>
  <si>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</si>
  <si>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</si>
  <si>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</si>
  <si>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</si>
  <si>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</si>
  <si>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</si>
  <si>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</si>
  <si>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</si>
  <si>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</si>
  <si>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</si>
  <si>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</si>
  <si>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</si>
  <si>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</si>
  <si>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</si>
  <si>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</si>
  <si>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</si>
  <si>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</si>
  <si>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</si>
  <si>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</si>
  <si>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</si>
  <si>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</si>
  <si>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</si>
  <si>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</si>
  <si>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</si>
  <si>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</si>
  <si>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</si>
  <si>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</si>
  <si>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</si>
  <si>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</si>
  <si>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</si>
  <si>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</si>
  <si>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</si>
  <si>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</si>
  <si>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</si>
  <si>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</si>
  <si>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</si>
  <si>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</si>
  <si>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</si>
  <si>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</si>
  <si>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</si>
  <si>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</si>
  <si>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</si>
  <si>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</si>
  <si>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</si>
  <si>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</si>
  <si>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</si>
  <si>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</si>
  <si>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</si>
  <si>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</si>
  <si>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</si>
  <si>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</si>
  <si>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</si>
  <si>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</si>
  <si>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</si>
  <si>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</si>
  <si>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</si>
  <si>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</si>
  <si>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</si>
  <si>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</si>
  <si>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</si>
  <si>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</si>
  <si>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</si>
  <si>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</si>
  <si>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</si>
  <si>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</si>
  <si>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</si>
  <si>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</si>
  <si>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</si>
  <si>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</si>
  <si>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</si>
  <si>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</si>
  <si>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</si>
  <si>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</si>
  <si>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</si>
  <si>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</si>
  <si>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</si>
  <si>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</si>
  <si>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</si>
  <si>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</si>
  <si>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</si>
  <si>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</si>
  <si>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</si>
  <si>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</si>
  <si>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</si>
  <si>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</si>
  <si>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</si>
  <si>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</si>
  <si>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</si>
  <si>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</si>
  <si>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</si>
  <si>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</si>
  <si>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</si>
  <si>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</si>
  <si>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</si>
  <si>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</si>
  <si>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</si>
  <si>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</si>
  <si>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</si>
  <si>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</si>
  <si>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</si>
  <si>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</si>
  <si>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</si>
  <si>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</si>
  <si>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</si>
  <si>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</si>
  <si>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</si>
  <si>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</si>
  <si>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</si>
  <si>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</si>
  <si>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</si>
  <si>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</si>
  <si>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</si>
  <si>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</si>
  <si>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</si>
  <si>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</si>
  <si>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</si>
  <si>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</si>
  <si>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</si>
  <si>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</si>
  <si>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</si>
  <si>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</si>
  <si>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</si>
  <si>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</si>
  <si>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</si>
  <si>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</si>
  <si>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</si>
  <si>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</si>
  <si>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</si>
  <si>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</si>
  <si>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</si>
  <si>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</si>
  <si>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</si>
  <si>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</si>
  <si>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</si>
  <si>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</si>
  <si>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</si>
  <si>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</si>
  <si>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</si>
  <si>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</si>
  <si>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</si>
  <si>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</si>
  <si>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</si>
  <si>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</si>
  <si>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</si>
  <si>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</si>
  <si>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</si>
  <si>
    <t>SUMIF(Dataset!H:H,"&gt;"&amp;20)</t>
  </si>
  <si>
    <t>Using format cells</t>
  </si>
  <si>
    <t>Delimiter</t>
  </si>
  <si>
    <t>I have first selected the columns to split and go to---&gt; data&gt;text to column&gt;demilited&gt; in other option give "-" and select the designation where you want the data to split and click finish.</t>
  </si>
  <si>
    <t>Home&gt;Find and select option&gt; replace&gt; in find box give #N/A and in replace box give 20 and calculated the sum of sales using sum(range)</t>
  </si>
  <si>
    <t>Find and replace option and sum formula</t>
  </si>
  <si>
    <t>index and match function</t>
  </si>
  <si>
    <t>first I have used index function to map the values from table_b and table_c and matched the values with table_a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</si>
</sst>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9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9" fontId="7" fillId="0" borderId="1" xfId="0" applyNumberFormat="1" applyFont="1" applyBorder="1"/>
    <xf numFmtId="169" fontId="3" fillId="0" borderId="1" xfId="0" applyNumberFormat="1" applyFont="1" applyBorder="1"/>
    <xf numFmtId="0" fontId="7" fillId="5" borderId="1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Q1" zoomScaleNormal="100" workbookViewId="0">
      <pane ySplit="1" topLeftCell="A2" activePane="bottomLeft" state="frozen"/>
      <selection activeCell="C1" sqref="C1"/>
      <selection pane="bottomLeft" activeCell="U6" sqref="U6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4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:X40">
    <cfRule type="cellIs" priority="3" operator="between">
      <formula>-1</formula>
      <formula>-1</formula>
    </cfRule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B9" sqref="B9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6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6" x14ac:dyDescent="0.35">
      <c r="A2" s="2"/>
      <c r="B2" s="5" t="s">
        <v>160</v>
      </c>
      <c r="C2" s="2"/>
    </row>
    <row r="3" spans="1:6" x14ac:dyDescent="0.35">
      <c r="A3" s="6">
        <v>1</v>
      </c>
      <c r="B3" s="2" t="s">
        <v>107</v>
      </c>
      <c r="C3" s="2" t="s">
        <v>45</v>
      </c>
      <c r="E3" s="1">
        <v>5</v>
      </c>
      <c r="F3" s="1" t="s">
        <v>177</v>
      </c>
    </row>
    <row r="4" spans="1:6" x14ac:dyDescent="0.35">
      <c r="A4" s="6">
        <v>2</v>
      </c>
      <c r="B4" s="2" t="s">
        <v>46</v>
      </c>
      <c r="C4" s="2"/>
      <c r="E4" s="1">
        <v>5</v>
      </c>
      <c r="F4" s="1" t="s">
        <v>177</v>
      </c>
    </row>
    <row r="5" spans="1:6" x14ac:dyDescent="0.35">
      <c r="A5" s="6">
        <v>3</v>
      </c>
      <c r="B5" s="2" t="s">
        <v>104</v>
      </c>
      <c r="C5" s="32" t="s">
        <v>178</v>
      </c>
      <c r="D5" s="1">
        <f>SUMIF(Dataset!H:H,"&gt;"&amp;20)</f>
        <v>1473.0000000000002</v>
      </c>
      <c r="E5" s="1">
        <v>10</v>
      </c>
      <c r="F5" s="1" t="s">
        <v>177</v>
      </c>
    </row>
    <row r="6" spans="1:6" x14ac:dyDescent="0.35">
      <c r="A6" s="6">
        <v>4</v>
      </c>
      <c r="B6" s="2" t="s">
        <v>106</v>
      </c>
      <c r="C6" s="2" t="s">
        <v>179</v>
      </c>
      <c r="E6" s="1">
        <v>5</v>
      </c>
      <c r="F6" s="1" t="s">
        <v>177</v>
      </c>
    </row>
    <row r="7" spans="1:6" x14ac:dyDescent="0.35">
      <c r="A7" s="2"/>
      <c r="B7" s="2"/>
      <c r="C7" s="2"/>
    </row>
    <row r="13" spans="1:6" x14ac:dyDescent="0.35">
      <c r="E13" s="2"/>
    </row>
    <row r="14" spans="1:6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0" zoomScaleNormal="100" workbookViewId="0">
      <selection activeCell="E8" sqref="E8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164</v>
      </c>
    </row>
    <row r="2" spans="1:7" s="39" customFormat="1" ht="21" x14ac:dyDescent="0.5">
      <c r="B2" s="39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2">
        <f>IFERROR(VLOOKUP(A6,Dataset!A:G,7,FALSE),"")</f>
        <v>2.7</v>
      </c>
      <c r="C6" s="12">
        <f>IFERROR(VLOOKUP(A6,Dataset!A:N,14,FALSE),"")</f>
        <v>7.6</v>
      </c>
      <c r="D6" s="12">
        <f>IFERROR(VLOOKUP(A6,Dataset!A:R,18,FALSE),"")</f>
        <v>4.2</v>
      </c>
      <c r="E6" s="12">
        <f>IFERROR(VLOOKUP(A6,Dataset!A:T,20,FALSE),"")</f>
        <v>8.9</v>
      </c>
      <c r="F6" s="8">
        <f>IFERROR(VLOOKUP(A6,Dataset!A:V,22,FALSE),"")</f>
        <v>4.2</v>
      </c>
    </row>
    <row r="7" spans="1:7" ht="14.5" x14ac:dyDescent="0.35">
      <c r="A7" s="7" t="s">
        <v>4</v>
      </c>
      <c r="B7" s="12">
        <f>IFERROR(VLOOKUP(A7,Dataset!A:G,7,FALSE),"")</f>
        <v>2.7</v>
      </c>
      <c r="C7" s="12">
        <f>IFERROR(VLOOKUP(A7,Dataset!A:N,14,FALSE),"")</f>
        <v>7.6</v>
      </c>
      <c r="D7" s="12">
        <f>IFERROR(VLOOKUP(A7,Dataset!A:R,18,FALSE),"")</f>
        <v>4.2</v>
      </c>
      <c r="E7" s="12">
        <f>IFERROR(VLOOKUP(A7,Dataset!A:T,20,FALSE),"")</f>
        <v>8.9</v>
      </c>
      <c r="F7" s="8">
        <f>IFERROR(VLOOKUP(A7,Dataset!A:V,22,FALSE),"")</f>
        <v>4.2</v>
      </c>
    </row>
    <row r="8" spans="1:7" ht="14.5" x14ac:dyDescent="0.35">
      <c r="A8" s="7" t="s">
        <v>7</v>
      </c>
      <c r="B8" s="12">
        <f>IFERROR(VLOOKUP(A8,Dataset!A:G,7,FALSE),"")</f>
        <v>3.6</v>
      </c>
      <c r="C8" s="12">
        <f>IFERROR(VLOOKUP(A8,Dataset!A:N,14,FALSE),"")</f>
        <v>11.1</v>
      </c>
      <c r="D8" s="12">
        <f>IFERROR(VLOOKUP(A8,Dataset!A:R,18,FALSE),"")</f>
        <v>5.8</v>
      </c>
      <c r="E8" s="12">
        <f>IFERROR(VLOOKUP(A8,Dataset!A:T,20,FALSE),"")</f>
        <v>12.2</v>
      </c>
      <c r="F8" s="8">
        <f>IFERROR(VLOOKUP(A8,Dataset!A:V,22,FALSE),"")</f>
        <v>5.8</v>
      </c>
    </row>
    <row r="9" spans="1:7" ht="14.5" x14ac:dyDescent="0.35">
      <c r="A9" s="7" t="s">
        <v>8</v>
      </c>
      <c r="B9" s="12">
        <f>IFERROR(VLOOKUP(A9,Dataset!A:G,7,FALSE),"")</f>
        <v>4.9000000000000004</v>
      </c>
      <c r="C9" s="12">
        <f>IFERROR(VLOOKUP(A9,Dataset!A:N,14,FALSE),"")</f>
        <v>13.3</v>
      </c>
      <c r="D9" s="12">
        <f>IFERROR(VLOOKUP(A9,Dataset!A:R,18,FALSE),"")</f>
        <v>8.1</v>
      </c>
      <c r="E9" s="12">
        <f>IFERROR(VLOOKUP(A9,Dataset!A:T,20,FALSE),"")</f>
        <v>17</v>
      </c>
      <c r="F9" s="8">
        <f>IFERROR(VLOOKUP(A9,Dataset!A:V,22,FALSE),"")</f>
        <v>8.1</v>
      </c>
    </row>
    <row r="10" spans="1:7" ht="14.5" x14ac:dyDescent="0.35">
      <c r="A10" s="7" t="s">
        <v>11</v>
      </c>
      <c r="B10" s="12">
        <f>IFERROR(VLOOKUP(A10,Dataset!A:G,7,FALSE),"")</f>
        <v>9.4</v>
      </c>
      <c r="C10" s="12">
        <f>IFERROR(VLOOKUP(A10,Dataset!A:N,14,FALSE),"")</f>
        <v>28.3</v>
      </c>
      <c r="D10" s="12">
        <f>IFERROR(VLOOKUP(A10,Dataset!A:R,18,FALSE),"")</f>
        <v>16.100000000000001</v>
      </c>
      <c r="E10" s="12">
        <f>IFERROR(VLOOKUP(A10,Dataset!A:T,20,FALSE),"")</f>
        <v>32.799999999999997</v>
      </c>
      <c r="F10" s="8">
        <f>IFERROR(VLOOKUP(A10,Dataset!A:V,22,FALSE),"")</f>
        <v>16.100000000000001</v>
      </c>
    </row>
    <row r="11" spans="1:7" ht="14.5" x14ac:dyDescent="0.35">
      <c r="A11" s="7" t="s">
        <v>12</v>
      </c>
      <c r="B11" s="12">
        <f>IFERROR(VLOOKUP(A11,Dataset!A:G,7,FALSE),"")</f>
        <v>11.6</v>
      </c>
      <c r="C11" s="12">
        <f>IFERROR(VLOOKUP(A11,Dataset!A:N,14,FALSE),"")</f>
        <v>35.200000000000003</v>
      </c>
      <c r="D11" s="12">
        <f>IFERROR(VLOOKUP(A11,Dataset!A:R,18,FALSE),"")</f>
        <v>21.3</v>
      </c>
      <c r="E11" s="12">
        <f>IFERROR(VLOOKUP(A11,Dataset!A:T,20,FALSE),"")</f>
        <v>43</v>
      </c>
      <c r="F11" s="8">
        <f>IFERROR(VLOOKUP(A11,Dataset!A:V,22,FALSE),"")</f>
        <v>21.3</v>
      </c>
    </row>
    <row r="12" spans="1:7" ht="14.5" x14ac:dyDescent="0.35">
      <c r="A12" s="7" t="s">
        <v>14</v>
      </c>
      <c r="B12" s="12">
        <f>IFERROR(VLOOKUP(A12,Dataset!A:G,7,FALSE),"")</f>
        <v>18.399999999999999</v>
      </c>
      <c r="C12" s="12">
        <f>IFERROR(VLOOKUP(A12,Dataset!A:N,14,FALSE),"")</f>
        <v>55.6</v>
      </c>
      <c r="D12" s="12">
        <f>IFERROR(VLOOKUP(A12,Dataset!A:R,18,FALSE),"")</f>
        <v>33.799999999999997</v>
      </c>
      <c r="E12" s="12">
        <f>IFERROR(VLOOKUP(A12,Dataset!A:T,20,FALSE),"")</f>
        <v>67.900000000000006</v>
      </c>
      <c r="F12" s="8">
        <f>IFERROR(VLOOKUP(A12,Dataset!A:V,22,FALSE),"")</f>
        <v>33.799999999999997</v>
      </c>
    </row>
    <row r="13" spans="1:7" ht="14.5" x14ac:dyDescent="0.35">
      <c r="A13" s="7" t="s">
        <v>15</v>
      </c>
      <c r="B13" s="12">
        <f>IFERROR(VLOOKUP(A13,Dataset!A:G,7,FALSE),"")</f>
        <v>0</v>
      </c>
      <c r="C13" s="12">
        <f>IFERROR(VLOOKUP(A13,Dataset!A:N,14,FALSE),"")</f>
        <v>0</v>
      </c>
      <c r="D13" s="12">
        <f>IFERROR(VLOOKUP(A13,Dataset!A:R,18,FALSE),"")</f>
        <v>0</v>
      </c>
      <c r="E13" s="12">
        <f>IFERROR(VLOOKUP(A13,Dataset!A:T,20,FALSE),"")</f>
        <v>0</v>
      </c>
      <c r="F13" s="8">
        <f>IFERROR(VLOOKUP(A13,Dataset!A:V,22,FALSE),"")</f>
        <v>0</v>
      </c>
    </row>
    <row r="14" spans="1:7" ht="14.5" x14ac:dyDescent="0.35">
      <c r="A14" s="7" t="s">
        <v>16</v>
      </c>
      <c r="B14" s="12">
        <f>IFERROR(VLOOKUP(A14,Dataset!A:G,7,FALSE),"")</f>
        <v>21.9</v>
      </c>
      <c r="C14" s="12">
        <f>IFERROR(VLOOKUP(A14,Dataset!A:N,14,FALSE),"")</f>
        <v>61.5</v>
      </c>
      <c r="D14" s="12">
        <f>IFERROR(VLOOKUP(A14,Dataset!A:R,18,FALSE),"")</f>
        <v>40.1</v>
      </c>
      <c r="E14" s="12">
        <f>IFERROR(VLOOKUP(A14,Dataset!A:T,20,FALSE),"")</f>
        <v>76.599999999999994</v>
      </c>
      <c r="F14" s="8">
        <f>IFERROR(VLOOKUP(A14,Dataset!A:V,22,FALSE),"")</f>
        <v>40.1</v>
      </c>
    </row>
    <row r="15" spans="1:7" ht="14.5" x14ac:dyDescent="0.35">
      <c r="A15" s="7" t="s">
        <v>18</v>
      </c>
      <c r="B15" s="12">
        <f>IFERROR(VLOOKUP(A15,Dataset!A:G,7,FALSE),"")</f>
        <v>26.8</v>
      </c>
      <c r="C15" s="12">
        <f>IFERROR(VLOOKUP(A15,Dataset!A:N,14,FALSE),"")</f>
        <v>79.599999999999994</v>
      </c>
      <c r="D15" s="12">
        <f>IFERROR(VLOOKUP(A15,Dataset!A:R,18,FALSE),"")</f>
        <v>47.9</v>
      </c>
      <c r="E15" s="12">
        <f>IFERROR(VLOOKUP(A15,Dataset!A:T,20,FALSE),"")</f>
        <v>96.8</v>
      </c>
      <c r="F15" s="8">
        <f>IFERROR(VLOOKUP(A15,Dataset!A:V,22,FALSE),"")</f>
        <v>47.9</v>
      </c>
    </row>
    <row r="16" spans="1:7" ht="14.5" x14ac:dyDescent="0.35">
      <c r="A16" s="7" t="s">
        <v>20</v>
      </c>
      <c r="B16" s="12">
        <f>IFERROR(VLOOKUP(A16,Dataset!A:G,7,FALSE),"")</f>
        <v>28.5</v>
      </c>
      <c r="C16" s="12">
        <f>IFERROR(VLOOKUP(A16,Dataset!A:N,14,FALSE),"")</f>
        <v>85.4</v>
      </c>
      <c r="D16" s="12">
        <f>IFERROR(VLOOKUP(A16,Dataset!A:R,18,FALSE),"")</f>
        <v>52.3</v>
      </c>
      <c r="E16" s="12">
        <f>IFERROR(VLOOKUP(A16,Dataset!A:T,20,FALSE),"")</f>
        <v>106.1</v>
      </c>
      <c r="F16" s="8">
        <f>IFERROR(VLOOKUP(A16,Dataset!A:V,22,FALSE),"")</f>
        <v>52.3</v>
      </c>
    </row>
    <row r="17" spans="1:6" ht="14.5" x14ac:dyDescent="0.35">
      <c r="A17" s="7" t="s">
        <v>22</v>
      </c>
      <c r="B17" s="12">
        <f>IFERROR(VLOOKUP(A17,Dataset!A:G,7,FALSE),"")</f>
        <v>30.7</v>
      </c>
      <c r="C17" s="12">
        <f>IFERROR(VLOOKUP(A17,Dataset!A:N,14,FALSE),"")</f>
        <v>92.1</v>
      </c>
      <c r="D17" s="12">
        <f>IFERROR(VLOOKUP(A17,Dataset!A:R,18,FALSE),"")</f>
        <v>57</v>
      </c>
      <c r="E17" s="12">
        <f>IFERROR(VLOOKUP(A17,Dataset!A:T,20,FALSE),"")</f>
        <v>115.1</v>
      </c>
      <c r="F17" s="8">
        <f>IFERROR(VLOOKUP(A17,Dataset!A:V,22,FALSE),"")</f>
        <v>57</v>
      </c>
    </row>
    <row r="18" spans="1:6" ht="14.5" x14ac:dyDescent="0.35">
      <c r="A18" s="7" t="s">
        <v>23</v>
      </c>
      <c r="B18" s="12">
        <f>IFERROR(VLOOKUP(A18,Dataset!A:G,7,FALSE),"")</f>
        <v>33.799999999999997</v>
      </c>
      <c r="C18" s="12">
        <f>IFERROR(VLOOKUP(A18,Dataset!A:N,14,FALSE),"")</f>
        <v>101.3</v>
      </c>
      <c r="D18" s="12">
        <f>IFERROR(VLOOKUP(A18,Dataset!A:R,18,FALSE),"")</f>
        <v>61.4</v>
      </c>
      <c r="E18" s="12">
        <f>IFERROR(VLOOKUP(A18,Dataset!A:T,20,FALSE),"")</f>
        <v>124.4</v>
      </c>
      <c r="F18" s="8">
        <f>IFERROR(VLOOKUP(A18,Dataset!A:V,22,FALSE),"")</f>
        <v>61.4</v>
      </c>
    </row>
    <row r="19" spans="1:6" ht="14.5" x14ac:dyDescent="0.35">
      <c r="A19" s="7" t="s">
        <v>24</v>
      </c>
      <c r="B19" s="12">
        <f>IFERROR(VLOOKUP(A19,Dataset!A:G,7,FALSE),"")</f>
        <v>34.700000000000003</v>
      </c>
      <c r="C19" s="12">
        <f>IFERROR(VLOOKUP(A19,Dataset!A:N,14,FALSE),"")</f>
        <v>106.1</v>
      </c>
      <c r="D19" s="12">
        <f>IFERROR(VLOOKUP(A19,Dataset!A:R,18,FALSE),"")</f>
        <v>63.6</v>
      </c>
      <c r="E19" s="12">
        <f>IFERROR(VLOOKUP(A19,Dataset!A:T,20,FALSE),"")</f>
        <v>128.6</v>
      </c>
      <c r="F19" s="8">
        <f>IFERROR(VLOOKUP(A19,Dataset!A:V,22,FALSE),"")</f>
        <v>63.6</v>
      </c>
    </row>
    <row r="20" spans="1:6" ht="14.5" x14ac:dyDescent="0.35">
      <c r="A20" s="7" t="s">
        <v>28</v>
      </c>
      <c r="B20" s="12">
        <f>IFERROR(VLOOKUP(A20,Dataset!A:G,7,FALSE),"")</f>
        <v>0</v>
      </c>
      <c r="C20" s="12">
        <f>IFERROR(VLOOKUP(A20,Dataset!A:N,14,FALSE),"")</f>
        <v>0</v>
      </c>
      <c r="D20" s="12">
        <f>IFERROR(VLOOKUP(A20,Dataset!A:R,18,FALSE),"")</f>
        <v>0</v>
      </c>
      <c r="E20" s="12">
        <f>IFERROR(VLOOKUP(A20,Dataset!A:T,20,FALSE),"")</f>
        <v>0</v>
      </c>
      <c r="F20" s="8">
        <f>IFERROR(VLOOKUP(A20,Dataset!A:V,22,FALSE),"")</f>
        <v>0</v>
      </c>
    </row>
    <row r="21" spans="1:6" ht="14.5" x14ac:dyDescent="0.35">
      <c r="A21" s="7" t="s">
        <v>57</v>
      </c>
      <c r="B21" s="12">
        <f>IFERROR(VLOOKUP(A21,Dataset!A:G,7,FALSE),"")</f>
        <v>41.3</v>
      </c>
      <c r="C21" s="12">
        <f>IFERROR(VLOOKUP(A21,Dataset!A:N,14,FALSE),"")</f>
        <v>124.4</v>
      </c>
      <c r="D21" s="12">
        <f>IFERROR(VLOOKUP(A21,Dataset!A:R,18,FALSE),"")</f>
        <v>75</v>
      </c>
      <c r="E21" s="12">
        <f>IFERROR(VLOOKUP(A21,Dataset!A:T,20,FALSE),"")</f>
        <v>151.5</v>
      </c>
      <c r="F21" s="8">
        <f>IFERROR(VLOOKUP(A21,Dataset!A:V,22,FALSE),"")</f>
        <v>75</v>
      </c>
    </row>
    <row r="22" spans="1:6" ht="14.5" x14ac:dyDescent="0.35">
      <c r="A22" s="7" t="s">
        <v>58</v>
      </c>
      <c r="B22" s="12">
        <f>IFERROR(VLOOKUP(A22,Dataset!A:G,7,FALSE),"")</f>
        <v>-1</v>
      </c>
      <c r="C22" s="12">
        <f>IFERROR(VLOOKUP(A22,Dataset!A:N,14,FALSE),"")</f>
        <v>-1</v>
      </c>
      <c r="D22" s="12">
        <f>IFERROR(VLOOKUP(A22,Dataset!A:R,18,FALSE),"")</f>
        <v>-1</v>
      </c>
      <c r="E22" s="12">
        <f>IFERROR(VLOOKUP(A22,Dataset!A:T,20,FALSE),"")</f>
        <v>-1</v>
      </c>
      <c r="F22" s="8">
        <f>IFERROR(VLOOKUP(A22,Dataset!A:V,22,FALSE),"")</f>
        <v>-1</v>
      </c>
    </row>
    <row r="23" spans="1:6" ht="14.5" x14ac:dyDescent="0.35">
      <c r="A23" s="7" t="s">
        <v>31</v>
      </c>
      <c r="B23" s="12">
        <f>IFERROR(VLOOKUP(A23,Dataset!A:G,7,FALSE),"")</f>
        <v>45</v>
      </c>
      <c r="C23" s="12">
        <f>IFERROR(VLOOKUP(A23,Dataset!A:N,14,FALSE),"")</f>
        <v>133.4</v>
      </c>
      <c r="D23" s="12">
        <f>IFERROR(VLOOKUP(A23,Dataset!A:R,18,FALSE),"")</f>
        <v>79.400000000000006</v>
      </c>
      <c r="E23" s="12">
        <f>IFERROR(VLOOKUP(A23,Dataset!A:T,20,FALSE),"")</f>
        <v>160.9</v>
      </c>
      <c r="F23" s="8">
        <f>IFERROR(VLOOKUP(A23,Dataset!A:V,22,FALSE),"")</f>
        <v>79.400000000000006</v>
      </c>
    </row>
    <row r="24" spans="1:6" ht="14.5" x14ac:dyDescent="0.35">
      <c r="A24" s="7" t="s">
        <v>32</v>
      </c>
      <c r="B24" s="12">
        <f>IFERROR(VLOOKUP(A24,Dataset!A:G,7,FALSE),"")</f>
        <v>-1</v>
      </c>
      <c r="C24" s="12">
        <f>IFERROR(VLOOKUP(A24,Dataset!A:N,14,FALSE),"")</f>
        <v>-1</v>
      </c>
      <c r="D24" s="12">
        <f>IFERROR(VLOOKUP(A24,Dataset!A:R,18,FALSE),"")</f>
        <v>-1</v>
      </c>
      <c r="E24" s="12">
        <f>IFERROR(VLOOKUP(A24,Dataset!A:T,20,FALSE),"")</f>
        <v>-1</v>
      </c>
      <c r="F24" s="8">
        <f>IFERROR(VLOOKUP(A24,Dataset!A:V,22,FALSE),"")</f>
        <v>-1</v>
      </c>
    </row>
    <row r="25" spans="1:6" ht="14.5" x14ac:dyDescent="0.35">
      <c r="A25" s="7" t="s">
        <v>34</v>
      </c>
      <c r="B25" s="12">
        <f>IFERROR(VLOOKUP(A25,Dataset!A:G,7,FALSE),"")</f>
        <v>43.3</v>
      </c>
      <c r="C25" s="12">
        <f>IFERROR(VLOOKUP(A25,Dataset!A:N,14,FALSE),"")</f>
        <v>128.6</v>
      </c>
      <c r="D25" s="12">
        <f>IFERROR(VLOOKUP(A25,Dataset!A:R,18,FALSE),"")</f>
        <v>79.400000000000006</v>
      </c>
      <c r="E25" s="12">
        <f>IFERROR(VLOOKUP(A25,Dataset!A:T,20,FALSE),"")</f>
        <v>160.9</v>
      </c>
      <c r="F25" s="8">
        <f>IFERROR(VLOOKUP(A25,Dataset!A:V,22,FALSE),"")</f>
        <v>79.400000000000006</v>
      </c>
    </row>
    <row r="26" spans="1:6" ht="14.5" x14ac:dyDescent="0.35">
      <c r="A26" s="7" t="s">
        <v>37</v>
      </c>
      <c r="B26" s="12">
        <f>IFERROR(VLOOKUP(A26,Dataset!A:G,7,FALSE),"")</f>
        <v>49.1</v>
      </c>
      <c r="C26" s="12">
        <f>IFERROR(VLOOKUP(A26,Dataset!A:N,14,FALSE),"")</f>
        <v>146.80000000000001</v>
      </c>
      <c r="D26" s="12">
        <f>IFERROR(VLOOKUP(A26,Dataset!A:R,18,FALSE),"")</f>
        <v>90.9</v>
      </c>
      <c r="E26" s="12">
        <f>IFERROR(VLOOKUP(A26,Dataset!A:T,20,FALSE),"")</f>
        <v>183.5</v>
      </c>
      <c r="F26" s="8">
        <f>IFERROR(VLOOKUP(A26,Dataset!A:V,22,FALSE),"")</f>
        <v>90.9</v>
      </c>
    </row>
    <row r="27" spans="1:6" ht="14.5" x14ac:dyDescent="0.35">
      <c r="A27" s="7" t="s">
        <v>39</v>
      </c>
      <c r="B27" s="12">
        <f>IFERROR(VLOOKUP(A27,Dataset!A:G,7,FALSE),"")</f>
        <v>51.8</v>
      </c>
      <c r="C27" s="12">
        <f>IFERROR(VLOOKUP(A27,Dataset!A:N,14,FALSE),"")</f>
        <v>156.4</v>
      </c>
      <c r="D27" s="12">
        <f>IFERROR(VLOOKUP(A27,Dataset!A:R,18,FALSE),"")</f>
        <v>93.1</v>
      </c>
      <c r="E27" s="12">
        <f>IFERROR(VLOOKUP(A27,Dataset!A:T,20,FALSE),"")</f>
        <v>188.1</v>
      </c>
      <c r="F27" s="8">
        <f>IFERROR(VLOOKUP(A27,Dataset!A:V,22,FALSE),"")</f>
        <v>93.1</v>
      </c>
    </row>
    <row r="28" spans="1:6" ht="14.5" x14ac:dyDescent="0.35">
      <c r="A28" s="18" t="s">
        <v>82</v>
      </c>
      <c r="B28" s="45">
        <f>MIN(B6:B27)</f>
        <v>-1</v>
      </c>
      <c r="C28" s="45">
        <f>MIN(C6:C27)</f>
        <v>-1</v>
      </c>
      <c r="D28" s="45">
        <f>MIN(D6:D27)</f>
        <v>-1</v>
      </c>
      <c r="E28" s="45">
        <f>MIN(E6:E27)</f>
        <v>-1</v>
      </c>
      <c r="F28" s="45">
        <f>MIN(F6:F27)</f>
        <v>-1</v>
      </c>
    </row>
    <row r="29" spans="1:6" ht="14.5" x14ac:dyDescent="0.35">
      <c r="A29" s="18" t="s">
        <v>83</v>
      </c>
      <c r="B29" s="45">
        <f>MAX(B6:B27)</f>
        <v>51.8</v>
      </c>
      <c r="C29" s="45">
        <f>MAX(C6:C27)</f>
        <v>156.4</v>
      </c>
      <c r="D29" s="45">
        <f>MAX(D6:D27)</f>
        <v>93.1</v>
      </c>
      <c r="E29" s="45">
        <f>MAX(E6:E27)</f>
        <v>188.1</v>
      </c>
      <c r="F29" s="45">
        <f>MAX(F6:F27)</f>
        <v>93.1</v>
      </c>
    </row>
    <row r="30" spans="1:6" ht="14.5" x14ac:dyDescent="0.35">
      <c r="A30" s="18" t="s">
        <v>84</v>
      </c>
      <c r="B30" s="45">
        <f>ROUND(AVERAGE(B6:B27),2)</f>
        <v>20.83</v>
      </c>
      <c r="C30" s="45">
        <f>ROUND(AVERAGE(C6:C27),2)</f>
        <v>62.38</v>
      </c>
      <c r="D30" s="45">
        <f>ROUND(AVERAGE(D6:D27),2)</f>
        <v>37.799999999999997</v>
      </c>
      <c r="E30" s="45">
        <f>ROUND(AVERAGE(E6:E27),2)</f>
        <v>76.42</v>
      </c>
      <c r="F30" s="45">
        <f>ROUND(AVERAGE(F6:F27),2)</f>
        <v>37.799999999999997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D12" sqref="D12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56</v>
      </c>
      <c r="B1" s="39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1" t="s">
        <v>53</v>
      </c>
      <c r="B5" s="38" t="s">
        <v>180</v>
      </c>
    </row>
    <row r="6" spans="1:10" ht="18.5" x14ac:dyDescent="0.45">
      <c r="A6" s="41" t="s">
        <v>153</v>
      </c>
      <c r="B6" s="38" t="s">
        <v>181</v>
      </c>
    </row>
    <row r="7" spans="1:10" ht="18.5" x14ac:dyDescent="0.45">
      <c r="A7" s="41"/>
      <c r="B7" s="38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4" t="s">
        <v>103</v>
      </c>
      <c r="B15" s="16" t="s">
        <v>49</v>
      </c>
      <c r="C15" s="16" t="s">
        <v>50</v>
      </c>
      <c r="D15" s="16" t="s">
        <v>51</v>
      </c>
      <c r="E15" s="16" t="s">
        <v>52</v>
      </c>
      <c r="F15" s="16" t="s">
        <v>54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3" zoomScaleNormal="100" workbookViewId="0">
      <selection activeCell="B7" sqref="B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0" t="s">
        <v>85</v>
      </c>
      <c r="B1" s="39" t="s">
        <v>167</v>
      </c>
    </row>
    <row r="2" spans="1:3" ht="18.5" x14ac:dyDescent="0.45">
      <c r="B2" s="38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183</v>
      </c>
    </row>
    <row r="7" spans="1:3" ht="14.5" x14ac:dyDescent="0.35">
      <c r="A7" s="3" t="s">
        <v>153</v>
      </c>
      <c r="B7" s="1" t="s">
        <v>182</v>
      </c>
    </row>
    <row r="10" spans="1:3" ht="23.5" x14ac:dyDescent="0.55000000000000004">
      <c r="A10" s="17" t="s">
        <v>162</v>
      </c>
    </row>
    <row r="11" spans="1:3" ht="14.5" x14ac:dyDescent="0.35">
      <c r="A11" s="30" t="s">
        <v>86</v>
      </c>
      <c r="B11" s="16" t="s">
        <v>87</v>
      </c>
      <c r="C11" s="16" t="s">
        <v>88</v>
      </c>
    </row>
    <row r="12" spans="1:3" ht="14.5" x14ac:dyDescent="0.35">
      <c r="A12" s="30">
        <v>44927</v>
      </c>
      <c r="B12" s="16" t="s">
        <v>59</v>
      </c>
      <c r="C12" s="16">
        <v>200</v>
      </c>
    </row>
    <row r="13" spans="1:3" ht="14.5" x14ac:dyDescent="0.35">
      <c r="A13" s="30">
        <v>44928</v>
      </c>
      <c r="B13" s="16" t="s">
        <v>60</v>
      </c>
      <c r="C13" s="16">
        <v>20</v>
      </c>
    </row>
    <row r="14" spans="1:3" ht="14.5" x14ac:dyDescent="0.35">
      <c r="A14" s="30">
        <v>44929</v>
      </c>
      <c r="B14" s="16" t="s">
        <v>61</v>
      </c>
      <c r="C14" s="16">
        <v>50</v>
      </c>
    </row>
    <row r="15" spans="1:3" ht="14.5" x14ac:dyDescent="0.35">
      <c r="A15" s="30">
        <v>44930</v>
      </c>
      <c r="B15" s="16" t="s">
        <v>62</v>
      </c>
      <c r="C15" s="16">
        <v>20</v>
      </c>
    </row>
    <row r="16" spans="1:3" ht="14.5" x14ac:dyDescent="0.35">
      <c r="A16" s="30">
        <v>44931</v>
      </c>
      <c r="B16" s="16" t="s">
        <v>63</v>
      </c>
      <c r="C16" s="16">
        <v>10</v>
      </c>
    </row>
    <row r="17" spans="1:3" ht="14.5" x14ac:dyDescent="0.35">
      <c r="A17" s="30">
        <v>44932</v>
      </c>
      <c r="B17" s="16" t="s">
        <v>154</v>
      </c>
      <c r="C17" s="16">
        <v>150</v>
      </c>
    </row>
    <row r="18" spans="1:3" ht="14.5" x14ac:dyDescent="0.35">
      <c r="A18" s="30">
        <v>44933</v>
      </c>
      <c r="B18" s="16" t="s">
        <v>155</v>
      </c>
      <c r="C18" s="16">
        <v>80</v>
      </c>
    </row>
    <row r="19" spans="1:3" ht="14.5" x14ac:dyDescent="0.35">
      <c r="A19" s="30">
        <v>44934</v>
      </c>
      <c r="B19" s="16" t="s">
        <v>156</v>
      </c>
      <c r="C19" s="16">
        <v>20</v>
      </c>
    </row>
    <row r="20" spans="1:3" ht="14.5" x14ac:dyDescent="0.35">
      <c r="A20" s="30">
        <v>44935</v>
      </c>
      <c r="B20" s="16" t="s">
        <v>157</v>
      </c>
      <c r="C20" s="16">
        <v>30</v>
      </c>
    </row>
    <row r="21" spans="1:3" ht="14.5" x14ac:dyDescent="0.35">
      <c r="A21" s="30">
        <v>44936</v>
      </c>
      <c r="B21" s="16" t="s">
        <v>158</v>
      </c>
      <c r="C21" s="16">
        <v>20</v>
      </c>
    </row>
    <row r="22" spans="1:3" ht="14.5" x14ac:dyDescent="0.3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E5" sqref="E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98</v>
      </c>
      <c r="B1" s="39" t="s">
        <v>175</v>
      </c>
    </row>
    <row r="3" spans="1:14" ht="14.5" x14ac:dyDescent="0.35">
      <c r="B3" s="1" t="s">
        <v>151</v>
      </c>
    </row>
    <row r="4" spans="1:14" ht="18.5" x14ac:dyDescent="0.45">
      <c r="A4" s="41" t="s">
        <v>53</v>
      </c>
      <c r="B4" s="1" t="s">
        <v>184</v>
      </c>
    </row>
    <row r="5" spans="1:14" ht="18.5" x14ac:dyDescent="0.45">
      <c r="A5" s="41" t="s">
        <v>153</v>
      </c>
      <c r="B5" s="1" t="s">
        <v>185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4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2">
        <v>10102</v>
      </c>
      <c r="C23" s="42">
        <f>INDEX(B10:J18,MATCH(M10,M10:M18,1),MATCH(N10,N10:N18,1))</f>
        <v>-1</v>
      </c>
    </row>
    <row r="24" spans="1:14" ht="14.5" x14ac:dyDescent="0.35">
      <c r="A24" s="7">
        <v>10100</v>
      </c>
      <c r="B24" s="12">
        <v>10104</v>
      </c>
      <c r="C24" s="42">
        <f t="shared" ref="C24:C35" si="0">INDEX(B11:J19,MATCH(M11,M11:M19,1),MATCH(N11,N11:N19,1))</f>
        <v>95</v>
      </c>
    </row>
    <row r="25" spans="1:14" ht="14.5" x14ac:dyDescent="0.35">
      <c r="A25" s="7">
        <v>10108</v>
      </c>
      <c r="B25" s="12">
        <v>10102</v>
      </c>
      <c r="C25" s="42">
        <f t="shared" si="0"/>
        <v>-1</v>
      </c>
    </row>
    <row r="26" spans="1:14" ht="14.5" x14ac:dyDescent="0.35">
      <c r="A26" s="7">
        <v>10100</v>
      </c>
      <c r="B26" s="12">
        <v>10106</v>
      </c>
      <c r="C26" s="42">
        <f t="shared" si="0"/>
        <v>185</v>
      </c>
    </row>
    <row r="27" spans="1:14" ht="14.5" x14ac:dyDescent="0.35">
      <c r="A27" s="7">
        <v>10108</v>
      </c>
      <c r="B27" s="12">
        <v>10110</v>
      </c>
      <c r="C27" s="42">
        <f t="shared" si="0"/>
        <v>255</v>
      </c>
    </row>
    <row r="28" spans="1:14" ht="14.5" x14ac:dyDescent="0.35">
      <c r="A28" s="7">
        <v>10102</v>
      </c>
      <c r="B28" s="12">
        <v>10104</v>
      </c>
      <c r="C28" s="42">
        <f t="shared" si="0"/>
        <v>305</v>
      </c>
    </row>
    <row r="29" spans="1:14" ht="14.5" x14ac:dyDescent="0.35">
      <c r="A29" s="7">
        <v>10106</v>
      </c>
      <c r="B29" s="12">
        <v>10108</v>
      </c>
      <c r="C29" s="42">
        <f t="shared" si="0"/>
        <v>415</v>
      </c>
    </row>
    <row r="30" spans="1:14" ht="14.5" x14ac:dyDescent="0.35">
      <c r="A30" s="7">
        <v>10102</v>
      </c>
      <c r="B30" s="12">
        <v>10106</v>
      </c>
      <c r="C30" s="42">
        <f t="shared" si="0"/>
        <v>480</v>
      </c>
    </row>
    <row r="31" spans="1:14" ht="14.5" x14ac:dyDescent="0.35">
      <c r="A31" s="7">
        <v>10110</v>
      </c>
      <c r="B31" s="12">
        <v>10114</v>
      </c>
      <c r="C31" s="42">
        <f t="shared" si="0"/>
        <v>525</v>
      </c>
    </row>
    <row r="32" spans="1:14" ht="14.5" x14ac:dyDescent="0.35">
      <c r="A32" s="7">
        <v>10104</v>
      </c>
      <c r="B32" s="12">
        <v>10106</v>
      </c>
      <c r="C32" s="42" t="e">
        <f t="shared" si="0"/>
        <v>#N/A</v>
      </c>
    </row>
    <row r="33" spans="1:3" ht="14.5" x14ac:dyDescent="0.35">
      <c r="A33" s="7">
        <v>10110</v>
      </c>
      <c r="B33" s="12">
        <v>10112</v>
      </c>
      <c r="C33" s="42" t="e">
        <f t="shared" si="0"/>
        <v>#N/A</v>
      </c>
    </row>
    <row r="34" spans="1:3" ht="14.5" x14ac:dyDescent="0.35">
      <c r="A34" s="7">
        <v>10100</v>
      </c>
      <c r="B34" s="12">
        <v>10114</v>
      </c>
      <c r="C34" s="42" t="e">
        <f t="shared" si="0"/>
        <v>#N/A</v>
      </c>
    </row>
    <row r="35" spans="1:3" ht="14.5" x14ac:dyDescent="0.35">
      <c r="A35" s="9">
        <v>10112</v>
      </c>
      <c r="B35" s="13">
        <v>10116</v>
      </c>
      <c r="C35" s="42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Agnes Arul Trinita S</cp:lastModifiedBy>
  <dcterms:created xsi:type="dcterms:W3CDTF">2015-02-10T17:33:11Z</dcterms:created>
  <dcterms:modified xsi:type="dcterms:W3CDTF">2023-12-09T12:46:54Z</dcterms:modified>
</cp:coreProperties>
</file>